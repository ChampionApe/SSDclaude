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xj477\Documents\GitHub\SSDclaude\data\"/>
    </mc:Choice>
  </mc:AlternateContent>
  <xr:revisionPtr revIDLastSave="0" documentId="13_ncr:1_{975FA60E-BAF6-4B46-B858-214F8F7B75C9}" xr6:coauthVersionLast="47" xr6:coauthVersionMax="47" xr10:uidLastSave="{00000000-0000-0000-0000-000000000000}"/>
  <bookViews>
    <workbookView xWindow="-90" yWindow="-90" windowWidth="19380" windowHeight="11460" activeTab="2" xr2:uid="{D3C4F84A-0E01-44C3-A15D-A44758EFE8C0}"/>
  </bookViews>
  <sheets>
    <sheet name="population" sheetId="1" r:id="rId1"/>
    <sheet name="heterogeneity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8" i="1"/>
  <c r="F2" i="3" l="1"/>
</calcChain>
</file>

<file path=xl/sharedStrings.xml><?xml version="1.0" encoding="utf-8"?>
<sst xmlns="http://schemas.openxmlformats.org/spreadsheetml/2006/main" count="17" uniqueCount="17">
  <si>
    <t>t</t>
  </si>
  <si>
    <t>Hours</t>
  </si>
  <si>
    <t>Income</t>
  </si>
  <si>
    <t>Group</t>
  </si>
  <si>
    <t>Savings rate</t>
  </si>
  <si>
    <t>Capital income share</t>
  </si>
  <si>
    <t>Labor supply elasticity</t>
  </si>
  <si>
    <t>Calibration year</t>
  </si>
  <si>
    <t>Population shares</t>
  </si>
  <si>
    <t>Voting shares</t>
  </si>
  <si>
    <t>Survival rate</t>
  </si>
  <si>
    <t>Worker-to-retiree</t>
  </si>
  <si>
    <t>Replacement rate</t>
  </si>
  <si>
    <t>Replacement rate groups</t>
  </si>
  <si>
    <t>[1,3]</t>
  </si>
  <si>
    <t>Average workweek</t>
  </si>
  <si>
    <t>Pension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</si>
</sst>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B1461-40F3-4621-A383-5FE9A849ADE2}">
  <dimension ref="A1:B8"/>
  <sheetViews>
    <sheetView workbookViewId="0">
      <selection activeCell="B1" sqref="B1"/>
    </sheetView>
  </sheetViews>
  <sheetFormatPr defaultRowHeight="14.75" x14ac:dyDescent="0.75"/>
  <cols>
    <col min="2" max="2" width="16.1328125" bestFit="1" customWidth="1"/>
  </cols>
  <sheetData>
    <row r="1" spans="1:2" x14ac:dyDescent="0.75">
      <c r="A1" t="s">
        <v>0</v>
      </c>
      <c r="B1" t="s">
        <v>11</v>
      </c>
    </row>
    <row r="2" spans="1:2" x14ac:dyDescent="0.75">
      <c r="A2">
        <v>1920</v>
      </c>
      <c r="B2" s="2">
        <f>B3</f>
        <v>1.645994618709391</v>
      </c>
    </row>
    <row r="3" spans="1:2" x14ac:dyDescent="0.75">
      <c r="A3">
        <v>1950</v>
      </c>
      <c r="B3" s="2">
        <f>B4</f>
        <v>1.645994618709391</v>
      </c>
    </row>
    <row r="4" spans="1:2" x14ac:dyDescent="0.75">
      <c r="A4">
        <v>1980</v>
      </c>
      <c r="B4" s="1">
        <v>1.645994618709391</v>
      </c>
    </row>
    <row r="5" spans="1:2" x14ac:dyDescent="0.75">
      <c r="A5">
        <v>2010</v>
      </c>
      <c r="B5" s="1">
        <v>1.473985729446017</v>
      </c>
    </row>
    <row r="6" spans="1:2" x14ac:dyDescent="0.75">
      <c r="A6">
        <v>2040</v>
      </c>
      <c r="B6" s="1">
        <v>1.1581292709104491</v>
      </c>
    </row>
    <row r="7" spans="1:2" x14ac:dyDescent="0.75">
      <c r="A7">
        <v>2070</v>
      </c>
      <c r="B7" s="1">
        <v>0.96408919724182562</v>
      </c>
    </row>
    <row r="8" spans="1:2" x14ac:dyDescent="0.75">
      <c r="A8">
        <v>2100</v>
      </c>
      <c r="B8" s="1">
        <f>B7</f>
        <v>0.96408919724182562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B0EF-4908-4CB2-98A8-B49EE220FB32}">
  <dimension ref="A1:F6"/>
  <sheetViews>
    <sheetView workbookViewId="0">
      <selection activeCell="C6" sqref="C6"/>
    </sheetView>
  </sheetViews>
  <sheetFormatPr defaultRowHeight="14.75" x14ac:dyDescent="0.75"/>
  <cols>
    <col min="2" max="2" width="17.40625" bestFit="1" customWidth="1"/>
    <col min="5" max="5" width="13.1328125" bestFit="1" customWidth="1"/>
    <col min="6" max="6" width="11.7265625" bestFit="1" customWidth="1"/>
  </cols>
  <sheetData>
    <row r="1" spans="1:6" x14ac:dyDescent="0.75">
      <c r="A1" t="s">
        <v>3</v>
      </c>
      <c r="B1" t="s">
        <v>8</v>
      </c>
      <c r="C1" t="s">
        <v>1</v>
      </c>
      <c r="D1" t="s">
        <v>2</v>
      </c>
      <c r="E1" t="s">
        <v>9</v>
      </c>
      <c r="F1" t="s">
        <v>10</v>
      </c>
    </row>
    <row r="2" spans="1:6" x14ac:dyDescent="0.75">
      <c r="A2">
        <v>0</v>
      </c>
      <c r="B2">
        <v>0.47058823529411764</v>
      </c>
      <c r="C2">
        <v>0.66416666700000004</v>
      </c>
      <c r="D2" s="1">
        <v>0.30890161199999999</v>
      </c>
      <c r="E2">
        <v>1</v>
      </c>
      <c r="F2">
        <v>1</v>
      </c>
    </row>
    <row r="3" spans="1:6" x14ac:dyDescent="0.75">
      <c r="A3">
        <v>1</v>
      </c>
      <c r="B3">
        <v>0.25</v>
      </c>
      <c r="C3">
        <v>0.63416666700000002</v>
      </c>
      <c r="D3" s="1">
        <v>0.47039630599999999</v>
      </c>
      <c r="E3">
        <v>1</v>
      </c>
      <c r="F3">
        <v>1</v>
      </c>
    </row>
    <row r="4" spans="1:6" x14ac:dyDescent="0.75">
      <c r="A4">
        <v>2</v>
      </c>
      <c r="B4">
        <v>0.25</v>
      </c>
      <c r="C4">
        <v>0.69666666700000002</v>
      </c>
      <c r="D4" s="1">
        <v>0.72880383999999998</v>
      </c>
      <c r="E4">
        <v>1</v>
      </c>
      <c r="F4">
        <v>1</v>
      </c>
    </row>
    <row r="5" spans="1:6" x14ac:dyDescent="0.75">
      <c r="A5">
        <v>3</v>
      </c>
      <c r="B5">
        <v>0.25</v>
      </c>
      <c r="C5">
        <v>0.72666666700000004</v>
      </c>
      <c r="D5" s="1">
        <v>0.99779220000000002</v>
      </c>
      <c r="E5">
        <v>1</v>
      </c>
      <c r="F5">
        <v>1</v>
      </c>
    </row>
    <row r="6" spans="1:6" x14ac:dyDescent="0.75">
      <c r="A6">
        <v>4</v>
      </c>
      <c r="B6">
        <v>0.25</v>
      </c>
      <c r="C6">
        <v>0.77833333299999996</v>
      </c>
      <c r="D6" s="1">
        <v>1.898184893</v>
      </c>
      <c r="E6">
        <v>1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8DC5-CA22-4A6E-BD10-69F2BD6158FF}">
  <dimension ref="A1:H2"/>
  <sheetViews>
    <sheetView tabSelected="1" workbookViewId="0">
      <selection activeCell="E3" sqref="E3"/>
    </sheetView>
  </sheetViews>
  <sheetFormatPr defaultRowHeight="14.75" x14ac:dyDescent="0.75"/>
  <cols>
    <col min="1" max="1" width="15.1328125" bestFit="1" customWidth="1"/>
    <col min="2" max="2" width="20" bestFit="1" customWidth="1"/>
    <col min="3" max="3" width="20.86328125" bestFit="1" customWidth="1"/>
    <col min="4" max="4" width="11.1328125" bestFit="1" customWidth="1"/>
    <col min="5" max="5" width="11.54296875" bestFit="1" customWidth="1"/>
    <col min="6" max="6" width="16.40625" bestFit="1" customWidth="1"/>
    <col min="7" max="7" width="24.1328125" customWidth="1"/>
    <col min="8" max="8" width="17.26953125" bestFit="1" customWidth="1"/>
  </cols>
  <sheetData>
    <row r="1" spans="1:8" x14ac:dyDescent="0.75">
      <c r="A1" t="s">
        <v>7</v>
      </c>
      <c r="B1" t="s">
        <v>5</v>
      </c>
      <c r="C1" t="s">
        <v>6</v>
      </c>
      <c r="D1" t="s">
        <v>16</v>
      </c>
      <c r="E1" t="s">
        <v>4</v>
      </c>
      <c r="F1" t="s">
        <v>12</v>
      </c>
      <c r="G1" t="s">
        <v>13</v>
      </c>
      <c r="H1" t="s">
        <v>15</v>
      </c>
    </row>
    <row r="2" spans="1:8" x14ac:dyDescent="0.75">
      <c r="A2">
        <v>2010</v>
      </c>
      <c r="B2">
        <v>0.35</v>
      </c>
      <c r="C2">
        <v>0.3</v>
      </c>
      <c r="D2">
        <v>7.0999999999999994E-2</v>
      </c>
      <c r="E2">
        <v>0.16500000000000001</v>
      </c>
      <c r="F2">
        <f>0.678/0.803</f>
        <v>0.84433374844333753</v>
      </c>
      <c r="G2" s="3" t="s">
        <v>14</v>
      </c>
      <c r="H2">
        <v>42.537500000000001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population</vt:lpstr>
      <vt:lpstr>heterogeneity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Kehlet Skjødt Berg</dc:creator>
  <cp:lastModifiedBy>Rasmus Kehlet Skjødt Berg</cp:lastModifiedBy>
  <dcterms:created xsi:type="dcterms:W3CDTF">2025-06-25T19:40:00Z</dcterms:created>
  <dcterms:modified xsi:type="dcterms:W3CDTF">2026-10-06T18:22:35Z</dcterms:modified>
</cp:coreProperties>
</file>