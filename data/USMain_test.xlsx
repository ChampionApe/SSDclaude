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xj477\Documents\GitHub\SSDclaude\data\"/>
    </mc:Choice>
  </mc:AlternateContent>
  <xr:revisionPtr revIDLastSave="0" documentId="13_ncr:1_{EB02432D-F8F0-4798-BEF1-51E73F2B7219}" xr6:coauthVersionLast="47" xr6:coauthVersionMax="47" xr10:uidLastSave="{00000000-0000-0000-0000-000000000000}"/>
  <bookViews>
    <workbookView xWindow="-120" yWindow="-120" windowWidth="38640" windowHeight="21120" activeTab="2" xr2:uid="{D3C4F84A-0E01-44C3-A15D-A44758EFE8C0}"/>
  </bookViews>
  <sheets>
    <sheet name="Readme" sheetId="4" r:id="rId1"/>
    <sheet name="population" sheetId="1" r:id="rId2"/>
    <sheet name="heterogeneity" sheetId="2" r:id="rId3"/>
    <sheet name="calibra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D2" i="3"/>
  <c r="D5" i="2"/>
  <c r="D3" i="2"/>
  <c r="I2" i="3"/>
  <c r="B5" i="2"/>
  <c r="B4" i="2"/>
  <c r="B3" i="2"/>
  <c r="C7" i="1"/>
  <c r="C6" i="1"/>
  <c r="C5" i="1"/>
  <c r="C4" i="1"/>
  <c r="C3" i="1"/>
  <c r="C2" i="1"/>
  <c r="B2" i="1"/>
  <c r="B7" i="1"/>
  <c r="A3" i="1"/>
  <c r="A2" i="1" s="1"/>
  <c r="A5" i="1"/>
  <c r="A6" i="1" s="1"/>
  <c r="A7" i="1" s="1"/>
</calcChain>
</file>

<file path=xl/sharedStrings.xml><?xml version="1.0" encoding="utf-8"?>
<sst xmlns="http://schemas.openxmlformats.org/spreadsheetml/2006/main" count="23" uniqueCount="23">
  <si>
    <t>t</t>
  </si>
  <si>
    <t>Hours</t>
  </si>
  <si>
    <t>Income</t>
  </si>
  <si>
    <t>Group</t>
  </si>
  <si>
    <t>Pension tax</t>
  </si>
  <si>
    <t>Capital income share</t>
  </si>
  <si>
    <t>Labor supply elasticity</t>
  </si>
  <si>
    <t>Calibration year</t>
  </si>
  <si>
    <t>Population shares</t>
  </si>
  <si>
    <t>Voting shares</t>
  </si>
  <si>
    <t>Survival rate</t>
  </si>
  <si>
    <t>Worker-to-retiree</t>
  </si>
  <si>
    <t>Replacement rate</t>
  </si>
  <si>
    <t>Replacement rate groups</t>
  </si>
  <si>
    <t>[1,2]</t>
  </si>
  <si>
    <t>30y interest</t>
  </si>
  <si>
    <t>Universal share</t>
  </si>
  <si>
    <t>Notes:</t>
  </si>
  <si>
    <t>Group = 0 is per construction informal workers. They are not used in the US model, but the main code relies on this type. Thus, synthetic data is filled in here.</t>
  </si>
  <si>
    <t xml:space="preserve">Calibration targets are different for US calibration than Argentina. </t>
  </si>
  <si>
    <t>Average workweek</t>
  </si>
  <si>
    <t>Worker-to-retiree (population growth)</t>
  </si>
  <si>
    <t>2026-10-23 (review response A2: pensions only in the U.S., UK and France): calibration!D2 is public cash spending on old-age and survivors pensions in 2020, 7.366% of GDP, OECD SOCX (OECD.ELS.SPD:DSD_SOCX_AGG, public ES10, old age and survivors TP01, in cash C, % of GDP; retrieved 2026-09-30), the value in data/oecdFigure1.csv column pensionSpending (figure 1.1), over the labour share 1-B2. It was =0.101/(1-B2), 7.2 pensions plus 2.9 Medicare (MedPAC 2020 Data Book). calibration!E2 (Universal share) is 0; it was (0.029/(1-B2))/D2, the Medicare share of spending, and is inert in the US model (getEps). calibration!G2 is =39.2/49.6, the gross replacement rates of men at 1.0 and 0.5 times average earnings, OECD Pensions at a Glance 2021, table 4.1 (data/oecdFigure1.csv grr100_men, grr050_men); it was =39.2/49.2.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</si>
</sst>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64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8116-F26D-48D0-B2CE-7FBA20E167F1}">
  <dimension ref="A1:A4"/>
  <sheetViews>
    <sheetView workbookViewId="0">
      <selection activeCell="T7" sqref="T7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1461-40F3-4621-A383-5FE9A849ADE2}">
  <dimension ref="A1:C7"/>
  <sheetViews>
    <sheetView workbookViewId="0">
      <selection activeCell="C4" sqref="C4"/>
    </sheetView>
  </sheetViews>
  <sheetFormatPr defaultRowHeight="15" x14ac:dyDescent="0.25"/>
  <cols>
    <col min="2" max="2" width="34.85546875" bestFit="1" customWidth="1"/>
    <col min="3" max="3" width="16.140625" bestFit="1" customWidth="1"/>
  </cols>
  <sheetData>
    <row r="1" spans="1:3" x14ac:dyDescent="0.25">
      <c r="A1" t="s">
        <v>0</v>
      </c>
      <c r="B1" t="s">
        <v>21</v>
      </c>
      <c r="C1" t="s">
        <v>11</v>
      </c>
    </row>
    <row r="2" spans="1:3" x14ac:dyDescent="0.25">
      <c r="A2">
        <f>A3-30</f>
        <v>1960</v>
      </c>
      <c r="B2" s="3">
        <f>B3</f>
        <v>1.4054861319724239</v>
      </c>
      <c r="C2" s="3">
        <f>B2</f>
        <v>1.4054861319724239</v>
      </c>
    </row>
    <row r="3" spans="1:3" x14ac:dyDescent="0.25">
      <c r="A3">
        <f>A4-30</f>
        <v>1990</v>
      </c>
      <c r="B3" s="3">
        <v>1.4054861319724239</v>
      </c>
      <c r="C3" s="3">
        <f t="shared" ref="C3:C7" si="0">B3</f>
        <v>1.4054861319724239</v>
      </c>
    </row>
    <row r="4" spans="1:3" x14ac:dyDescent="0.25">
      <c r="A4">
        <v>2020</v>
      </c>
      <c r="B4" s="3">
        <v>1.3396677627394229</v>
      </c>
      <c r="C4" s="3">
        <f t="shared" si="0"/>
        <v>1.3396677627394229</v>
      </c>
    </row>
    <row r="5" spans="1:3" x14ac:dyDescent="0.25">
      <c r="A5">
        <f>A4+30</f>
        <v>2050</v>
      </c>
      <c r="B5" s="3">
        <v>1.1219986438186136</v>
      </c>
      <c r="C5" s="3">
        <f t="shared" si="0"/>
        <v>1.1219986438186136</v>
      </c>
    </row>
    <row r="6" spans="1:3" x14ac:dyDescent="0.25">
      <c r="A6">
        <f t="shared" ref="A6:A7" si="1">A5+30</f>
        <v>2080</v>
      </c>
      <c r="B6" s="3">
        <v>1.0688804499803877</v>
      </c>
      <c r="C6" s="3">
        <f t="shared" si="0"/>
        <v>1.0688804499803877</v>
      </c>
    </row>
    <row r="7" spans="1:3" x14ac:dyDescent="0.25">
      <c r="A7">
        <f t="shared" si="1"/>
        <v>2110</v>
      </c>
      <c r="B7" s="3">
        <f>B6</f>
        <v>1.0688804499803877</v>
      </c>
      <c r="C7" s="3">
        <f t="shared" si="0"/>
        <v>1.0688804499803877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B0EF-4908-4CB2-98A8-B49EE220FB32}">
  <dimension ref="A1:F5"/>
  <sheetViews>
    <sheetView tabSelected="1" workbookViewId="0">
      <selection activeCell="D5" sqref="D5"/>
    </sheetView>
  </sheetViews>
  <sheetFormatPr defaultRowHeight="15" x14ac:dyDescent="0.25"/>
  <cols>
    <col min="2" max="2" width="17.42578125" bestFit="1" customWidth="1"/>
    <col min="4" max="4" width="11.5703125" bestFit="1" customWidth="1"/>
    <col min="5" max="5" width="13.140625" bestFit="1" customWidth="1"/>
    <col min="6" max="6" width="11.7109375" bestFit="1" customWidth="1"/>
  </cols>
  <sheetData>
    <row r="1" spans="1:6" x14ac:dyDescent="0.25">
      <c r="A1" t="s">
        <v>3</v>
      </c>
      <c r="B1" t="s">
        <v>8</v>
      </c>
      <c r="C1" t="s">
        <v>1</v>
      </c>
      <c r="D1" t="s">
        <v>2</v>
      </c>
      <c r="E1" t="s">
        <v>9</v>
      </c>
      <c r="F1" t="s">
        <v>10</v>
      </c>
    </row>
    <row r="2" spans="1:6" x14ac:dyDescent="0.25">
      <c r="A2">
        <v>0</v>
      </c>
      <c r="B2">
        <v>0</v>
      </c>
      <c r="C2">
        <v>1</v>
      </c>
      <c r="D2" s="2">
        <v>1</v>
      </c>
      <c r="E2">
        <v>1</v>
      </c>
      <c r="F2">
        <v>1</v>
      </c>
    </row>
    <row r="3" spans="1:6" x14ac:dyDescent="0.25">
      <c r="A3">
        <v>1</v>
      </c>
      <c r="B3">
        <f>18413/(18413+5557+7653)</f>
        <v>0.58226607216266646</v>
      </c>
      <c r="C3">
        <v>1936.46</v>
      </c>
      <c r="D3" s="2">
        <f>37116*(1+0)</f>
        <v>37116</v>
      </c>
      <c r="E3">
        <v>0.47399999999999998</v>
      </c>
      <c r="F3">
        <v>1</v>
      </c>
    </row>
    <row r="4" spans="1:6" x14ac:dyDescent="0.25">
      <c r="A4">
        <v>2</v>
      </c>
      <c r="B4">
        <f>5557/(18413+5557+7653)</f>
        <v>0.17572652815988363</v>
      </c>
      <c r="C4">
        <v>2156.7600000000002</v>
      </c>
      <c r="D4" s="2">
        <v>73299</v>
      </c>
      <c r="E4">
        <v>0.629</v>
      </c>
      <c r="F4">
        <v>1</v>
      </c>
    </row>
    <row r="5" spans="1:6" x14ac:dyDescent="0.25">
      <c r="A5">
        <v>3</v>
      </c>
      <c r="B5">
        <f>7653/(18413+5557+7653)</f>
        <v>0.24200739967744997</v>
      </c>
      <c r="C5">
        <v>2239.13</v>
      </c>
      <c r="D5" s="2">
        <f>160208*(1-0)</f>
        <v>160208</v>
      </c>
      <c r="E5">
        <v>0.76500000000000001</v>
      </c>
      <c r="F5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8DC5-CA22-4A6E-BD10-69F2BD6158FF}">
  <dimension ref="A1:I2"/>
  <sheetViews>
    <sheetView workbookViewId="0">
      <selection activeCell="E2" sqref="E2"/>
    </sheetView>
  </sheetViews>
  <sheetFormatPr defaultRowHeight="15" x14ac:dyDescent="0.25"/>
  <cols>
    <col min="1" max="1" width="15.140625" bestFit="1" customWidth="1"/>
    <col min="2" max="2" width="20" bestFit="1" customWidth="1"/>
    <col min="3" max="3" width="20.85546875" bestFit="1" customWidth="1"/>
    <col min="4" max="4" width="11.140625" bestFit="1" customWidth="1"/>
    <col min="5" max="5" width="14.85546875" bestFit="1" customWidth="1"/>
    <col min="6" max="6" width="10.85546875" bestFit="1" customWidth="1"/>
    <col min="7" max="7" width="16.42578125" bestFit="1" customWidth="1"/>
    <col min="8" max="8" width="24.140625" customWidth="1"/>
    <col min="9" max="9" width="17.28515625" bestFit="1" customWidth="1"/>
  </cols>
  <sheetData>
    <row r="1" spans="1:9" x14ac:dyDescent="0.25">
      <c r="A1" t="s">
        <v>7</v>
      </c>
      <c r="B1" t="s">
        <v>5</v>
      </c>
      <c r="C1" t="s">
        <v>6</v>
      </c>
      <c r="D1" t="s">
        <v>4</v>
      </c>
      <c r="E1" t="s">
        <v>16</v>
      </c>
      <c r="F1" t="s">
        <v>15</v>
      </c>
      <c r="G1" t="s">
        <v>12</v>
      </c>
      <c r="H1" t="s">
        <v>13</v>
      </c>
      <c r="I1" t="s">
        <v>20</v>
      </c>
    </row>
    <row r="2" spans="1:9" x14ac:dyDescent="0.25">
      <c r="A2">
        <v>2020</v>
      </c>
      <c r="B2">
        <v>0.3</v>
      </c>
      <c r="C2">
        <v>0.3</v>
      </c>
      <c r="D2">
        <f>0.07366/(1-B2)</f>
        <v>0.10522857142857144</v>
      </c>
      <c r="E2">
        <v>0</v>
      </c>
      <c r="F2">
        <v>2.4430000000000001</v>
      </c>
      <c r="G2">
        <f>39.2/49.6</f>
        <v>0.79032258064516137</v>
      </c>
      <c r="H2" s="1" t="s">
        <v>14</v>
      </c>
      <c r="I2">
        <f>SUMPRODUCT(heterogeneity!B3:B5,heterogeneity!C3:C5)/52</f>
        <v>39.392710265653776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population</vt:lpstr>
      <vt:lpstr>heterogeneity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Skjødt Berg</dc:creator>
  <cp:lastModifiedBy>Rasmus Kehlet Skjødt Berg</cp:lastModifiedBy>
  <dcterms:created xsi:type="dcterms:W3CDTF">2025-06-25T19:40:00Z</dcterms:created>
  <dcterms:modified xsi:type="dcterms:W3CDTF">2026-10-23T11:09:16Z</dcterms:modified>
</cp:coreProperties>
</file>