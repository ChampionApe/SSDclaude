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xj477\Documents\GitHub\SSDclaude\data\"/>
    </mc:Choice>
  </mc:AlternateContent>
  <xr:revisionPtr revIDLastSave="0" documentId="13_ncr:1_{0CF55784-E450-49D1-93CA-58CE7C2AB2D9}" xr6:coauthVersionLast="47" xr6:coauthVersionMax="47" xr10:uidLastSave="{00000000-0000-0000-0000-000000000000}"/>
  <bookViews>
    <workbookView xWindow="-90" yWindow="-90" windowWidth="19380" windowHeight="11460" xr2:uid="{D3C4F84A-0E01-44C3-A15D-A44758EFE8C0}"/>
  </bookViews>
  <sheets>
    <sheet name="population" sheetId="1" r:id="rId1"/>
    <sheet name="heterogeneity" sheetId="2" r:id="rId2"/>
    <sheet name="heterogeneityUK" sheetId="5" r:id="rId3"/>
    <sheet name="calibration" sheetId="3" r:id="rId4"/>
    <sheet name="calibrationUK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 s="1"/>
  <c r="D5" i="1"/>
  <c r="D4" i="1"/>
  <c r="D3" i="1"/>
  <c r="D2" i="1"/>
  <c r="D2" i="6"/>
  <c r="D2" i="3"/>
  <c r="H2" i="6"/>
  <c r="B5" i="5"/>
  <c r="B4" i="5"/>
  <c r="B3" i="5"/>
  <c r="B5" i="2"/>
  <c r="H2" i="3" s="1"/>
  <c r="B4" i="2"/>
  <c r="B3" i="2"/>
  <c r="A5" i="1"/>
  <c r="A6" i="1" s="1"/>
  <c r="A7" i="1" s="1"/>
  <c r="A3" i="1"/>
  <c r="A2" i="1" s="1"/>
</calcChain>
</file>

<file path=xl/sharedStrings.xml><?xml version="1.0" encoding="utf-8"?>
<sst xmlns="http://schemas.openxmlformats.org/spreadsheetml/2006/main" count="34" uniqueCount="19">
  <si>
    <t>t</t>
  </si>
  <si>
    <t>Hours</t>
  </si>
  <si>
    <t>Income</t>
  </si>
  <si>
    <t>Group</t>
  </si>
  <si>
    <t>Pension tax</t>
  </si>
  <si>
    <t>Capital income share</t>
  </si>
  <si>
    <t>Labor supply elasticity</t>
  </si>
  <si>
    <t>Calibration year</t>
  </si>
  <si>
    <t>Population shares</t>
  </si>
  <si>
    <t>Voting shares</t>
  </si>
  <si>
    <t>Survival rate</t>
  </si>
  <si>
    <t>Worker-to-retiree</t>
  </si>
  <si>
    <t>Replacement rate</t>
  </si>
  <si>
    <t>Replacement rate groups</t>
  </si>
  <si>
    <t>[1,2]</t>
  </si>
  <si>
    <t>Universal share</t>
  </si>
  <si>
    <t>Worker-to-retiree (census)</t>
  </si>
  <si>
    <t>Average workweek</t>
  </si>
  <si>
    <t>Relative cohort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</si>
</sst>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164" fontId="2" fillId="0" borderId="0" xfId="0" applyNumberFormat="1" applyFont="1"/>
    <xf numFmtId="4" fontId="2" fillId="0" borderId="0" xfId="0" applyNumberFormat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1461-40F3-4621-A383-5FE9A849ADE2}">
  <dimension ref="A1:D7"/>
  <sheetViews>
    <sheetView tabSelected="1" workbookViewId="0">
      <selection activeCell="D7" sqref="D7"/>
    </sheetView>
  </sheetViews>
  <sheetFormatPr defaultRowHeight="14.75" x14ac:dyDescent="0.75"/>
  <cols>
    <col min="2" max="2" width="16.1328125" bestFit="1" customWidth="1"/>
    <col min="3" max="3" width="19.1328125" bestFit="1" customWidth="1"/>
    <col min="4" max="4" width="16.1328125" bestFit="1" customWidth="1"/>
  </cols>
  <sheetData>
    <row r="1" spans="1:4" x14ac:dyDescent="0.75">
      <c r="A1" t="s">
        <v>0</v>
      </c>
      <c r="B1" t="s">
        <v>16</v>
      </c>
      <c r="C1" t="s">
        <v>18</v>
      </c>
      <c r="D1" t="s">
        <v>11</v>
      </c>
    </row>
    <row r="2" spans="1:4" x14ac:dyDescent="0.75">
      <c r="A2">
        <f>A3-30</f>
        <v>1960</v>
      </c>
      <c r="B2" s="2">
        <v>2.6246999367203432</v>
      </c>
      <c r="C2" s="3">
        <v>1.2274936380976849</v>
      </c>
      <c r="D2">
        <f>D3</f>
        <v>1.0986873684417726</v>
      </c>
    </row>
    <row r="3" spans="1:4" x14ac:dyDescent="0.75">
      <c r="A3">
        <f>A4-30</f>
        <v>1990</v>
      </c>
      <c r="B3" s="3">
        <v>2.4323580101383673</v>
      </c>
      <c r="C3" s="3">
        <v>1.2274936380976849</v>
      </c>
      <c r="D3">
        <f>C3*(30-1.5)/(30+C3*1.5)</f>
        <v>1.0986873684417726</v>
      </c>
    </row>
    <row r="4" spans="1:4" x14ac:dyDescent="0.75">
      <c r="A4">
        <v>2020</v>
      </c>
      <c r="B4" s="3">
        <v>2.0548748002131059</v>
      </c>
      <c r="C4" s="3">
        <v>1.1564309824743058</v>
      </c>
      <c r="D4">
        <f>C4*(30-1.5)/(30+C4*1.5)</f>
        <v>1.0385583790202264</v>
      </c>
    </row>
    <row r="5" spans="1:4" x14ac:dyDescent="0.75">
      <c r="A5">
        <f>A4+30</f>
        <v>2050</v>
      </c>
      <c r="B5" s="3">
        <v>1.8402212542751724</v>
      </c>
      <c r="C5" s="3">
        <v>1.0351170283745486</v>
      </c>
      <c r="D5">
        <f>C5*(30-1)/(30+C5*1)</f>
        <v>0.96723958847704428</v>
      </c>
    </row>
    <row r="6" spans="1:4" x14ac:dyDescent="0.75">
      <c r="A6">
        <f t="shared" ref="A6:A7" si="0">A5+30</f>
        <v>2080</v>
      </c>
      <c r="B6" s="3">
        <v>1.7767996923639138</v>
      </c>
      <c r="C6" s="3">
        <v>0.99714542762040426</v>
      </c>
      <c r="D6">
        <f>C6*(30-1)/(30+C6*1)</f>
        <v>0.93289936870201817</v>
      </c>
    </row>
    <row r="7" spans="1:4" x14ac:dyDescent="0.75">
      <c r="A7">
        <f t="shared" si="0"/>
        <v>2110</v>
      </c>
      <c r="B7" s="3">
        <v>1.7767996923639138</v>
      </c>
      <c r="C7" s="3">
        <v>0.99714542762040426</v>
      </c>
      <c r="D7">
        <f>D6</f>
        <v>0.93289936870201817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B0EF-4908-4CB2-98A8-B49EE220FB32}">
  <dimension ref="A1:F5"/>
  <sheetViews>
    <sheetView workbookViewId="0">
      <selection activeCell="E3" sqref="E3"/>
    </sheetView>
  </sheetViews>
  <sheetFormatPr defaultRowHeight="14.75" x14ac:dyDescent="0.75"/>
  <cols>
    <col min="2" max="2" width="17.40625" bestFit="1" customWidth="1"/>
    <col min="4" max="4" width="11.54296875" bestFit="1" customWidth="1"/>
    <col min="5" max="5" width="13.1328125" bestFit="1" customWidth="1"/>
    <col min="6" max="6" width="11.7265625" bestFit="1" customWidth="1"/>
  </cols>
  <sheetData>
    <row r="1" spans="1:6" x14ac:dyDescent="0.75">
      <c r="A1" t="s">
        <v>3</v>
      </c>
      <c r="B1" t="s">
        <v>8</v>
      </c>
      <c r="C1" t="s">
        <v>1</v>
      </c>
      <c r="D1" t="s">
        <v>2</v>
      </c>
      <c r="E1" t="s">
        <v>9</v>
      </c>
      <c r="F1" t="s">
        <v>10</v>
      </c>
    </row>
    <row r="2" spans="1:6" x14ac:dyDescent="0.75">
      <c r="A2">
        <v>0</v>
      </c>
      <c r="B2">
        <v>0</v>
      </c>
      <c r="C2">
        <v>1</v>
      </c>
      <c r="D2" s="1">
        <v>1</v>
      </c>
      <c r="E2">
        <v>1</v>
      </c>
      <c r="F2">
        <v>1</v>
      </c>
    </row>
    <row r="3" spans="1:6" x14ac:dyDescent="0.75">
      <c r="A3">
        <v>1</v>
      </c>
      <c r="B3">
        <f>9555/(9555+2889+3972)</f>
        <v>0.58205409356725146</v>
      </c>
      <c r="C3">
        <v>1713.91</v>
      </c>
      <c r="D3" s="1">
        <v>25112</v>
      </c>
      <c r="E3">
        <v>0.80969999999999998</v>
      </c>
      <c r="F3">
        <v>1</v>
      </c>
    </row>
    <row r="4" spans="1:6" x14ac:dyDescent="0.75">
      <c r="A4">
        <v>2</v>
      </c>
      <c r="B4">
        <f>2889/(9555+2889+3972)</f>
        <v>0.17598684210526316</v>
      </c>
      <c r="C4">
        <v>1875.24</v>
      </c>
      <c r="D4" s="1">
        <v>39361</v>
      </c>
      <c r="E4">
        <v>0.85670000000000002</v>
      </c>
      <c r="F4">
        <v>1</v>
      </c>
    </row>
    <row r="5" spans="1:6" x14ac:dyDescent="0.75">
      <c r="A5">
        <v>3</v>
      </c>
      <c r="B5">
        <f>3972/(9555+2889+3972)</f>
        <v>0.24195906432748537</v>
      </c>
      <c r="C5">
        <v>2086.66</v>
      </c>
      <c r="D5" s="1">
        <v>73767</v>
      </c>
      <c r="E5">
        <v>0.8518</v>
      </c>
      <c r="F5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2F09-580B-4BFA-B78B-5C2D40A9041B}">
  <dimension ref="A1:F5"/>
  <sheetViews>
    <sheetView workbookViewId="0">
      <selection activeCell="E3" sqref="E3"/>
    </sheetView>
  </sheetViews>
  <sheetFormatPr defaultRowHeight="14.75" x14ac:dyDescent="0.75"/>
  <cols>
    <col min="2" max="2" width="17.40625" bestFit="1" customWidth="1"/>
    <col min="4" max="4" width="11.54296875" bestFit="1" customWidth="1"/>
    <col min="5" max="5" width="13.1328125" bestFit="1" customWidth="1"/>
    <col min="6" max="6" width="11.7265625" bestFit="1" customWidth="1"/>
  </cols>
  <sheetData>
    <row r="1" spans="1:6" x14ac:dyDescent="0.75">
      <c r="A1" t="s">
        <v>3</v>
      </c>
      <c r="B1" t="s">
        <v>8</v>
      </c>
      <c r="C1" t="s">
        <v>1</v>
      </c>
      <c r="D1" t="s">
        <v>2</v>
      </c>
      <c r="E1" t="s">
        <v>9</v>
      </c>
      <c r="F1" t="s">
        <v>10</v>
      </c>
    </row>
    <row r="2" spans="1:6" x14ac:dyDescent="0.75">
      <c r="A2">
        <v>0</v>
      </c>
      <c r="B2">
        <v>0</v>
      </c>
      <c r="C2">
        <v>1</v>
      </c>
      <c r="D2" s="1">
        <v>1</v>
      </c>
      <c r="E2">
        <v>1</v>
      </c>
      <c r="F2">
        <v>1</v>
      </c>
    </row>
    <row r="3" spans="1:6" x14ac:dyDescent="0.75">
      <c r="A3">
        <v>1</v>
      </c>
      <c r="B3">
        <f>4800/(4800+9532+2084)</f>
        <v>0.29239766081871343</v>
      </c>
      <c r="C3">
        <v>1629.38</v>
      </c>
      <c r="D3" s="1">
        <v>20011</v>
      </c>
      <c r="E3">
        <v>0.80969999999999998</v>
      </c>
      <c r="F3">
        <v>1</v>
      </c>
    </row>
    <row r="4" spans="1:6" x14ac:dyDescent="0.75">
      <c r="A4">
        <v>2</v>
      </c>
      <c r="B4">
        <f>9532/(4800+9532+2084)</f>
        <v>0.58065302144249509</v>
      </c>
      <c r="C4">
        <v>1855.62</v>
      </c>
      <c r="D4" s="1">
        <v>37081</v>
      </c>
      <c r="E4">
        <v>0.83230000000000004</v>
      </c>
      <c r="F4">
        <v>1</v>
      </c>
    </row>
    <row r="5" spans="1:6" x14ac:dyDescent="0.75">
      <c r="A5">
        <v>3</v>
      </c>
      <c r="B5">
        <f>2084/(4800+9532+2084)</f>
        <v>0.12694931773879142</v>
      </c>
      <c r="C5">
        <v>2194.58</v>
      </c>
      <c r="D5" s="1">
        <v>94604</v>
      </c>
      <c r="E5">
        <v>0.8518</v>
      </c>
      <c r="F5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8DC5-CA22-4A6E-BD10-69F2BD6158FF}">
  <dimension ref="A1:H2"/>
  <sheetViews>
    <sheetView workbookViewId="0">
      <selection activeCell="D1" sqref="D1"/>
    </sheetView>
  </sheetViews>
  <sheetFormatPr defaultRowHeight="14.75" x14ac:dyDescent="0.75"/>
  <cols>
    <col min="1" max="1" width="15.1328125" bestFit="1" customWidth="1"/>
    <col min="2" max="2" width="20" bestFit="1" customWidth="1"/>
    <col min="3" max="3" width="20.86328125" bestFit="1" customWidth="1"/>
    <col min="4" max="4" width="11.1328125" bestFit="1" customWidth="1"/>
    <col min="5" max="5" width="14.86328125" bestFit="1" customWidth="1"/>
    <col min="6" max="6" width="16.40625" bestFit="1" customWidth="1"/>
    <col min="7" max="7" width="23.26953125" bestFit="1" customWidth="1"/>
  </cols>
  <sheetData>
    <row r="1" spans="1:8" x14ac:dyDescent="0.75">
      <c r="A1" t="s">
        <v>7</v>
      </c>
      <c r="B1" t="s">
        <v>5</v>
      </c>
      <c r="C1" t="s">
        <v>6</v>
      </c>
      <c r="D1" t="s">
        <v>4</v>
      </c>
      <c r="E1" t="s">
        <v>15</v>
      </c>
      <c r="F1" t="s">
        <v>12</v>
      </c>
      <c r="G1" t="s">
        <v>13</v>
      </c>
      <c r="H1" t="s">
        <v>17</v>
      </c>
    </row>
    <row r="2" spans="1:8" x14ac:dyDescent="0.75">
      <c r="A2">
        <v>2020</v>
      </c>
      <c r="B2">
        <v>0.3</v>
      </c>
      <c r="C2">
        <v>0.3</v>
      </c>
      <c r="D2">
        <f>0.14437/(1-B2)</f>
        <v>0.20624285714285714</v>
      </c>
      <c r="E2">
        <v>0</v>
      </c>
      <c r="F2">
        <v>1</v>
      </c>
      <c r="G2" s="4" t="s">
        <v>14</v>
      </c>
      <c r="H2">
        <f>SUMPRODUCT(heterogeneity!B3:B5,heterogeneity!C3:C5)/52</f>
        <v>35.240234585863696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B2B7-DEB4-4692-8BCB-4698B5AA77FA}">
  <dimension ref="A1:H2"/>
  <sheetViews>
    <sheetView workbookViewId="0">
      <selection activeCell="D1" sqref="D1"/>
    </sheetView>
  </sheetViews>
  <sheetFormatPr defaultRowHeight="14.75" x14ac:dyDescent="0.75"/>
  <cols>
    <col min="1" max="1" width="15.1328125" bestFit="1" customWidth="1"/>
    <col min="2" max="2" width="20" bestFit="1" customWidth="1"/>
    <col min="3" max="3" width="20.86328125" bestFit="1" customWidth="1"/>
    <col min="4" max="4" width="11.1328125" bestFit="1" customWidth="1"/>
    <col min="5" max="5" width="14.86328125" bestFit="1" customWidth="1"/>
    <col min="6" max="6" width="16.40625" bestFit="1" customWidth="1"/>
    <col min="7" max="7" width="23.26953125" bestFit="1" customWidth="1"/>
  </cols>
  <sheetData>
    <row r="1" spans="1:8" x14ac:dyDescent="0.75">
      <c r="A1" t="s">
        <v>7</v>
      </c>
      <c r="B1" t="s">
        <v>5</v>
      </c>
      <c r="C1" t="s">
        <v>6</v>
      </c>
      <c r="D1" t="s">
        <v>4</v>
      </c>
      <c r="E1" t="s">
        <v>15</v>
      </c>
      <c r="F1" t="s">
        <v>12</v>
      </c>
      <c r="G1" t="s">
        <v>13</v>
      </c>
      <c r="H1" t="s">
        <v>17</v>
      </c>
    </row>
    <row r="2" spans="1:8" x14ac:dyDescent="0.75">
      <c r="A2">
        <v>2020</v>
      </c>
      <c r="B2">
        <v>0.3</v>
      </c>
      <c r="C2">
        <v>0.3</v>
      </c>
      <c r="D2">
        <f>0.14437/(1-B2)</f>
        <v>0.20624285714285714</v>
      </c>
      <c r="E2">
        <v>0</v>
      </c>
      <c r="F2">
        <v>1</v>
      </c>
      <c r="G2" s="4" t="s">
        <v>14</v>
      </c>
      <c r="H2">
        <f>SUMPRODUCT(heterogeneityUK!B3:B5,heterogeneityUK!C3:C5)/52</f>
        <v>35.240359499175284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population</vt:lpstr>
      <vt:lpstr>heterogeneity</vt:lpstr>
      <vt:lpstr>heterogeneityUK</vt:lpstr>
      <vt:lpstr>calibration</vt:lpstr>
      <vt:lpstr>calibrationUK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Skjødt Berg</dc:creator>
  <cp:lastModifiedBy>Rasmus Kehlet Skjødt Berg</cp:lastModifiedBy>
  <dcterms:created xsi:type="dcterms:W3CDTF">2025-06-25T19:40:00Z</dcterms:created>
  <dcterms:modified xsi:type="dcterms:W3CDTF">2026-10-26T15:16:22Z</dcterms:modified>
</cp:coreProperties>
</file>