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sxj477\Documents\GitHub\SSDclaude\data\"/>
    </mc:Choice>
  </mc:AlternateContent>
  <xr:revisionPtr revIDLastSave="0" documentId="13_ncr:1_{3EA909AA-49F2-4CBD-9ACE-D164052550B1}" xr6:coauthVersionLast="47" xr6:coauthVersionMax="47" xr10:uidLastSave="{00000000-0000-0000-0000-000000000000}"/>
  <bookViews>
    <workbookView xWindow="-120" yWindow="-120" windowWidth="38640" windowHeight="21120" activeTab="5" xr2:uid="{D3C4F84A-0E01-44C3-A15D-A44758EFE8C0}"/>
  </bookViews>
  <sheets>
    <sheet name="Readme" sheetId="4" r:id="rId1"/>
    <sheet name="population" sheetId="1" r:id="rId2"/>
    <sheet name="heterogeneity" sheetId="2" r:id="rId3"/>
    <sheet name="heterogeneityUK" sheetId="5" r:id="rId4"/>
    <sheet name="calibration" sheetId="3" r:id="rId5"/>
    <sheet name="calibrationUK"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7" i="1" s="1"/>
  <c r="D3" i="1"/>
  <c r="D2" i="1" s="1"/>
  <c r="D2" i="6"/>
  <c r="D2" i="3"/>
  <c r="H2" i="6"/>
  <c r="B5" i="5"/>
  <c r="B4" i="5"/>
  <c r="B3" i="5"/>
  <c r="B5" i="2"/>
  <c r="H2" i="3" s="1"/>
  <c r="B4" i="2"/>
  <c r="B3" i="2"/>
  <c r="A5" i="1"/>
  <c r="A6" i="1" s="1"/>
  <c r="A7" i="1" s="1"/>
  <c r="A3" i="1"/>
  <c r="A2" i="1" s="1"/>
</calcChain>
</file>

<file path=xl/sharedStrings.xml><?xml version="1.0" encoding="utf-8"?>
<sst xmlns="http://schemas.openxmlformats.org/spreadsheetml/2006/main" count="42" uniqueCount="27">
  <si>
    <t>t</t>
  </si>
  <si>
    <t>Hours</t>
  </si>
  <si>
    <t>Income</t>
  </si>
  <si>
    <t>Group</t>
  </si>
  <si>
    <t>Pension tax</t>
  </si>
  <si>
    <t>Capital income share</t>
  </si>
  <si>
    <t>Labor supply elasticity</t>
  </si>
  <si>
    <t>Calibration year</t>
  </si>
  <si>
    <t>Population shares</t>
  </si>
  <si>
    <t>Voting shares</t>
  </si>
  <si>
    <t>Survival rate</t>
  </si>
  <si>
    <t>Worker-to-retiree</t>
  </si>
  <si>
    <t>Replacement rate</t>
  </si>
  <si>
    <t>Replacement rate groups</t>
  </si>
  <si>
    <t>[1,2]</t>
  </si>
  <si>
    <t>Universal share</t>
  </si>
  <si>
    <t>Notes:</t>
  </si>
  <si>
    <t>Group = 0 is per construction informal workers. They are not used in the French model, but the main code relies on this type. Thus, synthetic data is filled in here.</t>
  </si>
  <si>
    <t xml:space="preserve">Calibration targets are different for France calibration than Argentina. </t>
  </si>
  <si>
    <t>Worker-to-retiree (census)</t>
  </si>
  <si>
    <t>Average workweek</t>
  </si>
  <si>
    <t>Relative cohort sizes</t>
  </si>
  <si>
    <t xml:space="preserve">Worker-to-retiree data is adjusted based on the retirement age in France relative to that of US/UK. This difference changes from 2,5 years in 2020 to an expected differencec of  2 years by 2050. </t>
  </si>
  <si>
    <t>heterogeneityUK/calibrationUK (2026-09-22): France regrouped at the UK's own income cuts (cumulative shares 0.2924/0.8731/1), for the counterfactuals that impose French characteristics on the UK. Income, hours and group sizes are the LIS 2018 second sampling in calibration statistics AUG 2025.docx (SSD/Data). Voting shares have no CSES source at these cuts yet: they are the observed (US-cut) group values weighted by the population overlap of the new groups with the old, i.e. voting taken as flat within each observed group. Replace with CSES at the UK cuts when available.</t>
  </si>
  <si>
    <t>2026-09-22: heterogeneity!C3 (low-group hours) corrected from 1731.91 to 1713.91, the value in calibration statistics AUG 2025.docx (SSD/Data); the workbook figure was a digit transposition. With it the average workweek is 35.24 at both the US and the UK cuts.</t>
  </si>
  <si>
    <t>2026-10-23 (review response A2): calibration!D2 and calibrationUK!D2 are public cash spending on old-age and survivors pensions in 2020, 14.437% of GDP, OECD SOCX (OECD.ELS.SPD:DSD_SOCX_AGG, public ES10, old age and survivors TP01, in cash C, % of GDP; retrieved 2026-09-30), the value in data/oecdFigure1.csv column pensionSpending (figure 1.1), over the labour share 1-B2. They were =0.149/(1-B2), SOCX cash plus in kind (14.882).</t>
  </si>
  <si>
    <t>2026-10-23: population!D3 (1990) and D6 (2080) follow appendix F's rule on column C (UN WPP 2024 total population, P(t)/P(t-30)): nu (30-g)/(30+nu g), g = 2.5 years in 1990 and 2020, 2 in 2050 and 2080. D4 and D5 (2020, 2050) already equal the rule to 4e-16 and stay as values. D3 was 1.026299 (a gap of 2.43 years), D6 0.870591 (2.04).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</si>
</sst>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00"/>
    <numFmt numFmtId="165" formatCode="_-* #,##0_-;\-* #,##0_-;_-* &quot;-&quot;??_-;_-@_-"/>
  </numFmts>
  <fonts count="3" x14ac:knownFonts="1">
    <font>
      <sz val="11"/>
      <color theme="1"/>
      <name val="Aptos Narrow"/>
      <family val="2"/>
      <scheme val="minor"/>
    </font>
    <font>
      <sz val="11"/>
      <color theme="1"/>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5">
    <xf numFmtId="0" fontId="0" fillId="0" borderId="0" xfId="0"/>
    <xf numFmtId="165" fontId="0" fillId="0" borderId="0" xfId="1" applyNumberFormat="1" applyFont="1"/>
    <xf numFmtId="164" fontId="2" fillId="0" borderId="0" xfId="0" applyNumberFormat="1" applyFont="1"/>
    <xf numFmtId="4" fontId="2" fillId="0" borderId="0" xfId="0" applyNumberFormat="1" applyFont="1"/>
    <xf numFmtId="0" fontId="0" fillId="0" borderId="0" xfId="0" quotePrefix="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A8116-F26D-48D0-B2CE-7FBA20E167F1}">
  <dimension ref="A1:A8"/>
  <sheetViews>
    <sheetView workbookViewId="0">
      <selection activeCell="A4" sqref="A4"/>
    </sheetView>
  </sheetViews>
  <sheetFormatPr defaultRowHeight="15" x14ac:dyDescent="0.25"/>
  <sheetData>
    <row r="1" spans="1:1" x14ac:dyDescent="0.25">
      <c r="A1" t="s">
        <v>16</v>
      </c>
    </row>
    <row r="2" spans="1:1" x14ac:dyDescent="0.25">
      <c r="A2" t="s">
        <v>17</v>
      </c>
    </row>
    <row r="3" spans="1:1" x14ac:dyDescent="0.25">
      <c r="A3" t="s">
        <v>18</v>
      </c>
    </row>
    <row r="4" spans="1:1" x14ac:dyDescent="0.25">
      <c r="A4" t="s">
        <v>22</v>
      </c>
    </row>
    <row r="5" spans="1:1" x14ac:dyDescent="0.25">
      <c r="A5" t="s">
        <v>23</v>
      </c>
    </row>
    <row r="6" spans="1:1" x14ac:dyDescent="0.25">
      <c r="A6" t="s">
        <v>24</v>
      </c>
    </row>
    <row r="7" spans="1:1" x14ac:dyDescent="0.25">
      <c r="A7" t="s">
        <v>25</v>
      </c>
    </row>
    <row r="8" spans="1:1" x14ac:dyDescent="0.25">
      <c r="A8" t="s">
        <v>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B1461-40F3-4621-A383-5FE9A849ADE2}">
  <dimension ref="A1:D7"/>
  <sheetViews>
    <sheetView workbookViewId="0">
      <selection activeCell="D7" sqref="D7"/>
    </sheetView>
  </sheetViews>
  <sheetFormatPr defaultRowHeight="15" x14ac:dyDescent="0.25"/>
  <cols>
    <col min="2" max="2" width="16.140625" bestFit="1" customWidth="1"/>
    <col min="3" max="3" width="19.140625" bestFit="1" customWidth="1"/>
    <col min="4" max="4" width="16.140625" bestFit="1" customWidth="1"/>
  </cols>
  <sheetData>
    <row r="1" spans="1:4" x14ac:dyDescent="0.25">
      <c r="A1" t="s">
        <v>0</v>
      </c>
      <c r="B1" t="s">
        <v>19</v>
      </c>
      <c r="C1" t="s">
        <v>21</v>
      </c>
      <c r="D1" t="s">
        <v>11</v>
      </c>
    </row>
    <row r="2" spans="1:4" x14ac:dyDescent="0.25">
      <c r="A2">
        <f>A3-30</f>
        <v>1960</v>
      </c>
      <c r="B2" s="2">
        <v>2.6246999367203432</v>
      </c>
      <c r="C2" s="3">
        <v>1.2274936380976849</v>
      </c>
      <c r="D2">
        <f>D3</f>
        <v>1.020785221183927</v>
      </c>
    </row>
    <row r="3" spans="1:4" x14ac:dyDescent="0.25">
      <c r="A3">
        <f>A4-30</f>
        <v>1990</v>
      </c>
      <c r="B3" s="3">
        <v>2.4323580101383673</v>
      </c>
      <c r="C3" s="3">
        <v>1.2274936380976849</v>
      </c>
      <c r="D3">
        <f>C3*(30-2.5)/(30+C3*2.5)</f>
        <v>1.020785221183927</v>
      </c>
    </row>
    <row r="4" spans="1:4" x14ac:dyDescent="0.25">
      <c r="A4">
        <v>2020</v>
      </c>
      <c r="B4" s="3">
        <v>2.0548748002131059</v>
      </c>
      <c r="C4" s="3">
        <v>1.1564309824743058</v>
      </c>
      <c r="D4">
        <v>0.96688386266478132</v>
      </c>
    </row>
    <row r="5" spans="1:4" x14ac:dyDescent="0.25">
      <c r="A5">
        <f>A4+30</f>
        <v>2050</v>
      </c>
      <c r="B5" s="3">
        <v>1.8402212542751724</v>
      </c>
      <c r="C5" s="3">
        <v>1.0351170283745486</v>
      </c>
      <c r="D5">
        <v>0.90374384992640577</v>
      </c>
    </row>
    <row r="6" spans="1:4" x14ac:dyDescent="0.25">
      <c r="A6">
        <f t="shared" ref="A6:A7" si="0">A5+30</f>
        <v>2080</v>
      </c>
      <c r="B6" s="3">
        <v>1.7767996923639138</v>
      </c>
      <c r="C6" s="3">
        <v>0.99714542762040426</v>
      </c>
      <c r="D6">
        <f>C6*(30-2)/(30+C6*2)</f>
        <v>0.87265794074625924</v>
      </c>
    </row>
    <row r="7" spans="1:4" x14ac:dyDescent="0.25">
      <c r="A7">
        <f t="shared" si="0"/>
        <v>2110</v>
      </c>
      <c r="B7" s="3">
        <v>1.7767996923639138</v>
      </c>
      <c r="C7" s="3">
        <v>0.99714542762040426</v>
      </c>
      <c r="D7">
        <f>D6</f>
        <v>0.87265794074625924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6B0EF-4908-4CB2-98A8-B49EE220FB32}">
  <dimension ref="A1:F5"/>
  <sheetViews>
    <sheetView workbookViewId="0">
      <selection activeCell="E3" sqref="E3"/>
    </sheetView>
  </sheetViews>
  <sheetFormatPr defaultRowHeight="15" x14ac:dyDescent="0.25"/>
  <cols>
    <col min="2" max="2" width="17.42578125" bestFit="1" customWidth="1"/>
    <col min="4" max="4" width="11.5703125" bestFit="1" customWidth="1"/>
    <col min="5" max="5" width="13.140625" bestFit="1" customWidth="1"/>
    <col min="6" max="6" width="11.7109375" bestFit="1" customWidth="1"/>
  </cols>
  <sheetData>
    <row r="1" spans="1:6" x14ac:dyDescent="0.25">
      <c r="A1" t="s">
        <v>3</v>
      </c>
      <c r="B1" t="s">
        <v>8</v>
      </c>
      <c r="C1" t="s">
        <v>1</v>
      </c>
      <c r="D1" t="s">
        <v>2</v>
      </c>
      <c r="E1" t="s">
        <v>9</v>
      </c>
      <c r="F1" t="s">
        <v>10</v>
      </c>
    </row>
    <row r="2" spans="1:6" x14ac:dyDescent="0.25">
      <c r="A2">
        <v>0</v>
      </c>
      <c r="B2">
        <v>0</v>
      </c>
      <c r="C2">
        <v>1</v>
      </c>
      <c r="D2" s="1">
        <v>1</v>
      </c>
      <c r="E2">
        <v>1</v>
      </c>
      <c r="F2">
        <v>1</v>
      </c>
    </row>
    <row r="3" spans="1:6" x14ac:dyDescent="0.25">
      <c r="A3">
        <v>1</v>
      </c>
      <c r="B3">
        <f>9555/(9555+2889+3972)</f>
        <v>0.58205409356725146</v>
      </c>
      <c r="C3">
        <v>1713.91</v>
      </c>
      <c r="D3" s="1">
        <v>25112</v>
      </c>
      <c r="E3">
        <v>0.80969999999999998</v>
      </c>
      <c r="F3">
        <v>1</v>
      </c>
    </row>
    <row r="4" spans="1:6" x14ac:dyDescent="0.25">
      <c r="A4">
        <v>2</v>
      </c>
      <c r="B4">
        <f>2889/(9555+2889+3972)</f>
        <v>0.17598684210526316</v>
      </c>
      <c r="C4">
        <v>1875.24</v>
      </c>
      <c r="D4" s="1">
        <v>39361</v>
      </c>
      <c r="E4">
        <v>0.85670000000000002</v>
      </c>
      <c r="F4">
        <v>1</v>
      </c>
    </row>
    <row r="5" spans="1:6" x14ac:dyDescent="0.25">
      <c r="A5">
        <v>3</v>
      </c>
      <c r="B5">
        <f>3972/(9555+2889+3972)</f>
        <v>0.24195906432748537</v>
      </c>
      <c r="C5">
        <v>2086.66</v>
      </c>
      <c r="D5" s="1">
        <v>73767</v>
      </c>
      <c r="E5">
        <v>0.8518</v>
      </c>
      <c r="F5">
        <v>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2F09-580B-4BFA-B78B-5C2D40A9041B}">
  <dimension ref="A1:F5"/>
  <sheetViews>
    <sheetView workbookViewId="0">
      <selection activeCell="E3" sqref="E3"/>
    </sheetView>
  </sheetViews>
  <sheetFormatPr defaultRowHeight="15" x14ac:dyDescent="0.25"/>
  <cols>
    <col min="2" max="2" width="17.42578125" bestFit="1" customWidth="1"/>
    <col min="4" max="4" width="11.5703125" bestFit="1" customWidth="1"/>
    <col min="5" max="5" width="13.140625" bestFit="1" customWidth="1"/>
    <col min="6" max="6" width="11.7109375" bestFit="1" customWidth="1"/>
  </cols>
  <sheetData>
    <row r="1" spans="1:6" x14ac:dyDescent="0.25">
      <c r="A1" t="s">
        <v>3</v>
      </c>
      <c r="B1" t="s">
        <v>8</v>
      </c>
      <c r="C1" t="s">
        <v>1</v>
      </c>
      <c r="D1" t="s">
        <v>2</v>
      </c>
      <c r="E1" t="s">
        <v>9</v>
      </c>
      <c r="F1" t="s">
        <v>10</v>
      </c>
    </row>
    <row r="2" spans="1:6" x14ac:dyDescent="0.25">
      <c r="A2">
        <v>0</v>
      </c>
      <c r="B2">
        <v>0</v>
      </c>
      <c r="C2">
        <v>1</v>
      </c>
      <c r="D2" s="1">
        <v>1</v>
      </c>
      <c r="E2">
        <v>1</v>
      </c>
      <c r="F2">
        <v>1</v>
      </c>
    </row>
    <row r="3" spans="1:6" x14ac:dyDescent="0.25">
      <c r="A3">
        <v>1</v>
      </c>
      <c r="B3">
        <f>4800/(4800+9532+2084)</f>
        <v>0.29239766081871343</v>
      </c>
      <c r="C3">
        <v>1629.38</v>
      </c>
      <c r="D3" s="1">
        <v>20011</v>
      </c>
      <c r="E3">
        <v>0.80969999999999998</v>
      </c>
      <c r="F3">
        <v>1</v>
      </c>
    </row>
    <row r="4" spans="1:6" x14ac:dyDescent="0.25">
      <c r="A4">
        <v>2</v>
      </c>
      <c r="B4">
        <f>9532/(4800+9532+2084)</f>
        <v>0.58065302144249509</v>
      </c>
      <c r="C4">
        <v>1855.62</v>
      </c>
      <c r="D4" s="1">
        <v>37081</v>
      </c>
      <c r="E4">
        <v>0.83230000000000004</v>
      </c>
      <c r="F4">
        <v>1</v>
      </c>
    </row>
    <row r="5" spans="1:6" x14ac:dyDescent="0.25">
      <c r="A5">
        <v>3</v>
      </c>
      <c r="B5">
        <f>2084/(4800+9532+2084)</f>
        <v>0.12694931773879142</v>
      </c>
      <c r="C5">
        <v>2194.58</v>
      </c>
      <c r="D5" s="1">
        <v>94604</v>
      </c>
      <c r="E5">
        <v>0.8518</v>
      </c>
      <c r="F5">
        <v>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48DC5-CA22-4A6E-BD10-69F2BD6158FF}">
  <dimension ref="A1:H2"/>
  <sheetViews>
    <sheetView workbookViewId="0">
      <selection activeCell="D1" sqref="D1"/>
    </sheetView>
  </sheetViews>
  <sheetFormatPr defaultRowHeight="15" x14ac:dyDescent="0.25"/>
  <cols>
    <col min="1" max="1" width="15.140625" bestFit="1" customWidth="1"/>
    <col min="2" max="2" width="20" bestFit="1" customWidth="1"/>
    <col min="3" max="3" width="20.85546875" bestFit="1" customWidth="1"/>
    <col min="4" max="4" width="11.140625" bestFit="1" customWidth="1"/>
    <col min="5" max="5" width="14.85546875" bestFit="1" customWidth="1"/>
    <col min="6" max="6" width="16.42578125" bestFit="1" customWidth="1"/>
    <col min="7" max="7" width="23.28515625" bestFit="1" customWidth="1"/>
  </cols>
  <sheetData>
    <row r="1" spans="1:8" x14ac:dyDescent="0.25">
      <c r="A1" t="s">
        <v>7</v>
      </c>
      <c r="B1" t="s">
        <v>5</v>
      </c>
      <c r="C1" t="s">
        <v>6</v>
      </c>
      <c r="D1" t="s">
        <v>4</v>
      </c>
      <c r="E1" t="s">
        <v>15</v>
      </c>
      <c r="F1" t="s">
        <v>12</v>
      </c>
      <c r="G1" t="s">
        <v>13</v>
      </c>
      <c r="H1" t="s">
        <v>20</v>
      </c>
    </row>
    <row r="2" spans="1:8" x14ac:dyDescent="0.25">
      <c r="A2">
        <v>2020</v>
      </c>
      <c r="B2">
        <v>0.3</v>
      </c>
      <c r="C2">
        <v>0.3</v>
      </c>
      <c r="D2">
        <f>0.14437/(1-B2)</f>
        <v>0.20624285714285714</v>
      </c>
      <c r="E2">
        <v>0</v>
      </c>
      <c r="F2">
        <v>1</v>
      </c>
      <c r="G2" s="4" t="s">
        <v>14</v>
      </c>
      <c r="H2">
        <f>SUMPRODUCT(heterogeneity!B3:B5,heterogeneity!C3:C5)/52</f>
        <v>35.240234585863696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AB2B7-DEB4-4692-8BCB-4698B5AA77FA}">
  <dimension ref="A1:H2"/>
  <sheetViews>
    <sheetView tabSelected="1" workbookViewId="0">
      <selection activeCell="D1" sqref="D1"/>
    </sheetView>
  </sheetViews>
  <sheetFormatPr defaultRowHeight="15" x14ac:dyDescent="0.25"/>
  <cols>
    <col min="1" max="1" width="15.140625" bestFit="1" customWidth="1"/>
    <col min="2" max="2" width="20" bestFit="1" customWidth="1"/>
    <col min="3" max="3" width="20.85546875" bestFit="1" customWidth="1"/>
    <col min="4" max="4" width="11.140625" bestFit="1" customWidth="1"/>
    <col min="5" max="5" width="14.85546875" bestFit="1" customWidth="1"/>
    <col min="6" max="6" width="16.42578125" bestFit="1" customWidth="1"/>
    <col min="7" max="7" width="23.28515625" bestFit="1" customWidth="1"/>
  </cols>
  <sheetData>
    <row r="1" spans="1:8" x14ac:dyDescent="0.25">
      <c r="A1" t="s">
        <v>7</v>
      </c>
      <c r="B1" t="s">
        <v>5</v>
      </c>
      <c r="C1" t="s">
        <v>6</v>
      </c>
      <c r="D1" t="s">
        <v>4</v>
      </c>
      <c r="E1" t="s">
        <v>15</v>
      </c>
      <c r="F1" t="s">
        <v>12</v>
      </c>
      <c r="G1" t="s">
        <v>13</v>
      </c>
      <c r="H1" t="s">
        <v>20</v>
      </c>
    </row>
    <row r="2" spans="1:8" x14ac:dyDescent="0.25">
      <c r="A2">
        <v>2020</v>
      </c>
      <c r="B2">
        <v>0.3</v>
      </c>
      <c r="C2">
        <v>0.3</v>
      </c>
      <c r="D2">
        <f>0.14437/(1-B2)</f>
        <v>0.20624285714285714</v>
      </c>
      <c r="E2">
        <v>0</v>
      </c>
      <c r="F2">
        <v>1</v>
      </c>
      <c r="G2" s="4" t="s">
        <v>14</v>
      </c>
      <c r="H2">
        <f>SUMPRODUCT(heterogeneityUK!B3:B5,heterogeneityUK!C3:C5)/52</f>
        <v>35.240359499175284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population</vt:lpstr>
      <vt:lpstr>heterogeneity</vt:lpstr>
      <vt:lpstr>heterogeneityUK</vt:lpstr>
      <vt:lpstr>calibration</vt:lpstr>
      <vt:lpstr>calibrationUK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Rasmus Kehlet Skjødt Berg</dc:creator>
  <cp:lastModifiedBy>Rasmus Kehlet Skjødt Berg</cp:lastModifiedBy>
  <dcterms:created xsi:type="dcterms:W3CDTF">2025-06-25T19:40:00Z</dcterms:created>
  <dcterms:modified xsi:type="dcterms:W3CDTF">2026-10-23T11:09:16Z</dcterms:modified>
</cp:coreProperties>
</file>