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xj477\Documents\GitHub\SSDclaude\data\"/>
    </mc:Choice>
  </mc:AlternateContent>
  <xr:revisionPtr revIDLastSave="0" documentId="13_ncr:1_{8CC1BF21-8F61-4A12-9632-CD84FA5B4044}" xr6:coauthVersionLast="47" xr6:coauthVersionMax="47" xr10:uidLastSave="{00000000-0000-0000-0000-000000000000}"/>
  <bookViews>
    <workbookView xWindow="-120" yWindow="-120" windowWidth="38640" windowHeight="21120" activeTab="2" xr2:uid="{D3C4F84A-0E01-44C3-A15D-A44758EFE8C0}"/>
  </bookViews>
  <sheets>
    <sheet name="Readme" sheetId="4" r:id="rId1"/>
    <sheet name="population" sheetId="1" r:id="rId2"/>
    <sheet name="heterogeneity" sheetId="2" r:id="rId3"/>
    <sheet name="heterogeneityUS" sheetId="5" r:id="rId4"/>
    <sheet name="calibration" sheetId="3" r:id="rId5"/>
    <sheet name="calibrationU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D2" i="3"/>
  <c r="F2" i="6"/>
  <c r="F2" i="3"/>
  <c r="H5" i="5"/>
  <c r="G5" i="5"/>
  <c r="F5" i="5"/>
  <c r="H4" i="5"/>
  <c r="G4" i="5"/>
  <c r="F4" i="5"/>
  <c r="H3" i="5"/>
  <c r="G3" i="5"/>
  <c r="H5" i="2"/>
  <c r="H2" i="6"/>
  <c r="H2" i="3"/>
  <c r="E5" i="5"/>
  <c r="D5" i="5"/>
  <c r="E4" i="5"/>
  <c r="D4" i="5"/>
  <c r="F3" i="5"/>
  <c r="E3" i="5"/>
  <c r="D3" i="5"/>
  <c r="B2" i="2"/>
  <c r="B3" i="2" s="1"/>
  <c r="B4" i="2" s="1"/>
  <c r="B5" i="2" s="1"/>
  <c r="B5" i="5"/>
  <c r="B4" i="5"/>
  <c r="B3" i="5"/>
  <c r="B2" i="5"/>
  <c r="C5" i="5"/>
  <c r="C4" i="5"/>
  <c r="C3" i="5"/>
  <c r="C5" i="2"/>
  <c r="C4" i="2"/>
  <c r="C3" i="2"/>
  <c r="A7" i="1"/>
  <c r="A6" i="1"/>
  <c r="A5" i="1"/>
  <c r="A2" i="1"/>
  <c r="A3" i="1"/>
</calcChain>
</file>

<file path=xl/sharedStrings.xml><?xml version="1.0" encoding="utf-8"?>
<sst xmlns="http://schemas.openxmlformats.org/spreadsheetml/2006/main" count="39" uniqueCount="21">
  <si>
    <t>t</t>
  </si>
  <si>
    <t>Hours</t>
  </si>
  <si>
    <t>Income</t>
  </si>
  <si>
    <t>Group</t>
  </si>
  <si>
    <t>Pension tax</t>
  </si>
  <si>
    <t>Capital income share</t>
  </si>
  <si>
    <t>Labor supply elasticity</t>
  </si>
  <si>
    <t>Calibration year</t>
  </si>
  <si>
    <t>Population shares</t>
  </si>
  <si>
    <t>Voting shares</t>
  </si>
  <si>
    <t>Survival rate</t>
  </si>
  <si>
    <t>Worker-to-retiree</t>
  </si>
  <si>
    <t>Notes:</t>
  </si>
  <si>
    <t>Universal share</t>
  </si>
  <si>
    <t>Replacement rate</t>
  </si>
  <si>
    <t>Replacement rate groups</t>
  </si>
  <si>
    <t>[1,2]</t>
  </si>
  <si>
    <t>Worker-to-retiree (census)</t>
  </si>
  <si>
    <t>Average workweek</t>
  </si>
  <si>
    <t>CumPopShares</t>
  </si>
  <si>
    <t>2026-10-23 (review response A2): calibration!D2 and calibrationUS!D2 are public cash spending on old-age and survivors pensions in 2020, 7.836% of GDP, OECD SOCX (OECD.ELS.SPD:DSD_SOCX_AGG, public ES10, old age and survivors TP01, in cash C, % of GDP; retrieved 2026-09-30), the value in data/oecdFigure1.csv column pensionSpending (figure 1.1), over the labour share 1-B2. They were =0.083/(1-B2), SOCX cash plus in kind (8.269).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</si>
</sst>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0" fontId="2" fillId="0" borderId="0" xfId="0" applyFont="1"/>
    <xf numFmtId="164" fontId="3" fillId="0" borderId="0" xfId="0" applyNumberFormat="1" applyFont="1"/>
    <xf numFmtId="4" fontId="3" fillId="0" borderId="0" xfId="0" applyNumberFormat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8116-F26D-48D0-B2CE-7FBA20E167F1}">
  <dimension ref="A1:A2"/>
  <sheetViews>
    <sheetView workbookViewId="0">
      <selection activeCell="B2" sqref="B2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1461-40F3-4621-A383-5FE9A849ADE2}">
  <dimension ref="A1:C7"/>
  <sheetViews>
    <sheetView workbookViewId="0">
      <selection activeCell="D6" sqref="D6"/>
    </sheetView>
  </sheetViews>
  <sheetFormatPr defaultRowHeight="15" x14ac:dyDescent="0.25"/>
  <cols>
    <col min="2" max="2" width="24.5703125" bestFit="1" customWidth="1"/>
  </cols>
  <sheetData>
    <row r="1" spans="1:3" x14ac:dyDescent="0.25">
      <c r="A1" t="s">
        <v>0</v>
      </c>
      <c r="B1" t="s">
        <v>17</v>
      </c>
      <c r="C1" t="s">
        <v>11</v>
      </c>
    </row>
    <row r="2" spans="1:3" x14ac:dyDescent="0.25">
      <c r="A2">
        <f>A3-30</f>
        <v>1960</v>
      </c>
      <c r="B2" s="3">
        <v>3.8333171341666956</v>
      </c>
      <c r="C2" s="4">
        <v>1.0919194313105167</v>
      </c>
    </row>
    <row r="3" spans="1:3" x14ac:dyDescent="0.25">
      <c r="A3">
        <f>A4-30</f>
        <v>1990</v>
      </c>
      <c r="B3" s="4">
        <v>3.5524059364826606</v>
      </c>
      <c r="C3" s="4">
        <v>1.0919194313105167</v>
      </c>
    </row>
    <row r="4" spans="1:3" x14ac:dyDescent="0.25">
      <c r="A4">
        <v>2020</v>
      </c>
      <c r="B4" s="4">
        <v>3.0010999238514255</v>
      </c>
      <c r="C4" s="4">
        <v>1.1740347147676515</v>
      </c>
    </row>
    <row r="5" spans="1:3" x14ac:dyDescent="0.25">
      <c r="A5">
        <f>A4+30</f>
        <v>2050</v>
      </c>
      <c r="B5" s="4">
        <v>2.6876030916833722</v>
      </c>
      <c r="C5" s="4">
        <v>1.1210481688022833</v>
      </c>
    </row>
    <row r="6" spans="1:3" x14ac:dyDescent="0.25">
      <c r="A6">
        <f t="shared" ref="A6:A7" si="0">A5+30</f>
        <v>2080</v>
      </c>
      <c r="B6" s="4">
        <v>2.5949772808054159</v>
      </c>
      <c r="C6" s="4">
        <v>1.0059806887999434</v>
      </c>
    </row>
    <row r="7" spans="1:3" x14ac:dyDescent="0.25">
      <c r="A7">
        <f t="shared" si="0"/>
        <v>2110</v>
      </c>
      <c r="B7" s="4">
        <v>2.5949772808054159</v>
      </c>
      <c r="C7" s="4">
        <v>1.0059806887999434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B0EF-4908-4CB2-98A8-B49EE220FB32}">
  <dimension ref="A1:H5"/>
  <sheetViews>
    <sheetView tabSelected="1" workbookViewId="0">
      <selection activeCell="D5" sqref="D5"/>
    </sheetView>
  </sheetViews>
  <sheetFormatPr defaultRowHeight="15" x14ac:dyDescent="0.25"/>
  <cols>
    <col min="3" max="3" width="17.42578125" bestFit="1" customWidth="1"/>
    <col min="5" max="5" width="11.5703125" bestFit="1" customWidth="1"/>
    <col min="6" max="6" width="13.140625" bestFit="1" customWidth="1"/>
    <col min="7" max="7" width="11.7109375" bestFit="1" customWidth="1"/>
  </cols>
  <sheetData>
    <row r="1" spans="1:8" x14ac:dyDescent="0.25">
      <c r="A1" t="s">
        <v>3</v>
      </c>
      <c r="B1" t="s">
        <v>19</v>
      </c>
      <c r="C1" t="s">
        <v>8</v>
      </c>
      <c r="D1" t="s">
        <v>1</v>
      </c>
      <c r="E1" t="s">
        <v>2</v>
      </c>
      <c r="F1" t="s">
        <v>9</v>
      </c>
      <c r="G1" t="s">
        <v>10</v>
      </c>
      <c r="H1" t="s">
        <v>14</v>
      </c>
    </row>
    <row r="2" spans="1:8" x14ac:dyDescent="0.25">
      <c r="A2">
        <v>0</v>
      </c>
      <c r="B2">
        <f>C2</f>
        <v>0</v>
      </c>
      <c r="C2">
        <v>0</v>
      </c>
      <c r="D2">
        <v>1</v>
      </c>
      <c r="E2" s="1">
        <v>1</v>
      </c>
      <c r="F2">
        <v>1</v>
      </c>
      <c r="G2">
        <v>1</v>
      </c>
      <c r="H2">
        <v>0</v>
      </c>
    </row>
    <row r="3" spans="1:8" x14ac:dyDescent="0.25">
      <c r="A3">
        <v>1</v>
      </c>
      <c r="B3">
        <f>B2+C3</f>
        <v>0.29163248564397048</v>
      </c>
      <c r="C3">
        <f>711/(711+1417+310)</f>
        <v>0.29163248564397048</v>
      </c>
      <c r="D3">
        <v>1693.7</v>
      </c>
      <c r="E3" s="1">
        <v>14087</v>
      </c>
      <c r="F3">
        <v>0.60644770000000003</v>
      </c>
      <c r="G3">
        <v>1</v>
      </c>
      <c r="H3">
        <v>70.599999999999994</v>
      </c>
    </row>
    <row r="4" spans="1:8" x14ac:dyDescent="0.25">
      <c r="A4">
        <v>2</v>
      </c>
      <c r="B4">
        <f t="shared" ref="B4:B5" si="0">B3+C4</f>
        <v>0.87284659557013944</v>
      </c>
      <c r="C4">
        <f>1417/(711+1417+310)</f>
        <v>0.58121410992616895</v>
      </c>
      <c r="D4">
        <v>1846.87</v>
      </c>
      <c r="E4" s="1">
        <v>28201</v>
      </c>
      <c r="F4">
        <v>0.69934640000000003</v>
      </c>
      <c r="G4">
        <v>1</v>
      </c>
      <c r="H4">
        <v>49</v>
      </c>
    </row>
    <row r="5" spans="1:8" x14ac:dyDescent="0.25">
      <c r="A5">
        <v>3</v>
      </c>
      <c r="B5">
        <f t="shared" si="0"/>
        <v>1</v>
      </c>
      <c r="C5">
        <f>310/(711+1417+310)</f>
        <v>0.12715340442986053</v>
      </c>
      <c r="D5">
        <v>1875.13</v>
      </c>
      <c r="E5" s="1">
        <v>60319</v>
      </c>
      <c r="F5" s="2">
        <v>0.73529409999999995</v>
      </c>
      <c r="G5">
        <v>1</v>
      </c>
      <c r="H5">
        <f>38.2+(49-38.2)*(1-E5/(2*E4))</f>
        <v>37.449962767277761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9FCF-7A05-4ACB-BAF0-46FE9604B76B}">
  <dimension ref="A1:H5"/>
  <sheetViews>
    <sheetView workbookViewId="0">
      <selection activeCell="E1" sqref="E1"/>
    </sheetView>
  </sheetViews>
  <sheetFormatPr defaultRowHeight="15" x14ac:dyDescent="0.25"/>
  <cols>
    <col min="2" max="2" width="14.5703125" bestFit="1" customWidth="1"/>
    <col min="3" max="3" width="9" customWidth="1"/>
  </cols>
  <sheetData>
    <row r="1" spans="1:8" x14ac:dyDescent="0.25">
      <c r="A1" t="s">
        <v>3</v>
      </c>
      <c r="B1" t="s">
        <v>19</v>
      </c>
      <c r="C1" t="s">
        <v>8</v>
      </c>
      <c r="D1" t="s">
        <v>1</v>
      </c>
      <c r="E1" t="s">
        <v>2</v>
      </c>
      <c r="F1" t="s">
        <v>9</v>
      </c>
      <c r="G1" t="s">
        <v>10</v>
      </c>
      <c r="H1" t="s">
        <v>14</v>
      </c>
    </row>
    <row r="2" spans="1:8" x14ac:dyDescent="0.25">
      <c r="A2">
        <v>0</v>
      </c>
      <c r="B2">
        <f>C2</f>
        <v>0</v>
      </c>
      <c r="C2">
        <v>0</v>
      </c>
      <c r="D2">
        <v>1</v>
      </c>
      <c r="E2" s="1">
        <v>1</v>
      </c>
      <c r="F2">
        <v>1</v>
      </c>
      <c r="G2">
        <v>1</v>
      </c>
    </row>
    <row r="3" spans="1:8" x14ac:dyDescent="0.25">
      <c r="A3">
        <v>1</v>
      </c>
      <c r="B3">
        <f>B2+C3</f>
        <v>0.58226607216266646</v>
      </c>
      <c r="C3">
        <f>18413/(18413+5557+7653)</f>
        <v>0.58226607216266646</v>
      </c>
      <c r="D3">
        <f>FORECAST($B3,heterogeneity!D$3:D$5,heterogeneity!$B$3:$B$5)</f>
        <v>1769.2557795793523</v>
      </c>
      <c r="E3">
        <f>FORECAST($B3,heterogeneity!E$3:E$5,heterogeneity!$B$3:$B$5)</f>
        <v>26875.202224785662</v>
      </c>
      <c r="F3">
        <f>FORECAST($B3,heterogeneity!F$3:F$5,heterogeneity!$B$3:$B$5)</f>
        <v>0.65598547290592413</v>
      </c>
      <c r="G3">
        <f>FORECAST($B3,heterogeneity!G$3:G$5,heterogeneity!$B$3:$B$5)</f>
        <v>1</v>
      </c>
      <c r="H3">
        <f>FORECAST($B3,heterogeneity!H$3:H$5,heterogeneity!$B$3:$B$5)</f>
        <v>58.451848885082313</v>
      </c>
    </row>
    <row r="4" spans="1:8" x14ac:dyDescent="0.25">
      <c r="A4">
        <v>2</v>
      </c>
      <c r="B4">
        <f t="shared" ref="B4:B5" si="0">B3+C4</f>
        <v>0.75799260032255011</v>
      </c>
      <c r="C4">
        <f>5557/(18413+5557+7653)</f>
        <v>0.17572652815988363</v>
      </c>
      <c r="D4">
        <f>FORECAST($B4,heterogeneity!D$3:D$5,heterogeneity!$B$3:$B$5)</f>
        <v>1814.6651661239218</v>
      </c>
      <c r="E4">
        <f>FORECAST($B4,heterogeneity!E$3:E$5,heterogeneity!$B$3:$B$5)</f>
        <v>36123.205328219701</v>
      </c>
      <c r="F4">
        <f>FORECAST($B4,heterogeneity!F$3:F$5,heterogeneity!$B$3:$B$5)</f>
        <v>0.6867534469937504</v>
      </c>
      <c r="G4">
        <f>FORECAST($B4,heterogeneity!G$3:G$5,heterogeneity!$B$3:$B$5)</f>
        <v>1</v>
      </c>
      <c r="H4">
        <f>FORECAST($B4,heterogeneity!H$3:H$5,heterogeneity!$B$3:$B$5)</f>
        <v>50.750330874000596</v>
      </c>
    </row>
    <row r="5" spans="1:8" x14ac:dyDescent="0.25">
      <c r="A5">
        <v>3</v>
      </c>
      <c r="B5">
        <f t="shared" si="0"/>
        <v>1</v>
      </c>
      <c r="C5">
        <f>7653/(18413+5557+7653)</f>
        <v>0.24200739967744997</v>
      </c>
      <c r="D5">
        <f>FORECAST($B5,heterogeneity!D$3:D$5,heterogeneity!$B$3:$B$5)</f>
        <v>1877.2021528479795</v>
      </c>
      <c r="E5">
        <f>FORECAST($B5,heterogeneity!E$3:E$5,heterogeneity!$B$3:$B$5)</f>
        <v>48859.388115799447</v>
      </c>
      <c r="F5">
        <f>FORECAST($B5,heterogeneity!F$3:F$5,heterogeneity!$B$3:$B$5)</f>
        <v>0.72912654501320939</v>
      </c>
      <c r="G5">
        <f>FORECAST($B5,heterogeneity!G$3:G$5,heterogeneity!$B$3:$B$5)</f>
        <v>1</v>
      </c>
      <c r="H5">
        <f>FORECAST($B5,heterogeneity!H$3:H$5,heterogeneity!$B$3:$B$5)</f>
        <v>40.143939414794481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8DC5-CA22-4A6E-BD10-69F2BD6158FF}">
  <dimension ref="A1:H2"/>
  <sheetViews>
    <sheetView workbookViewId="0">
      <selection activeCell="F2" sqref="F2"/>
    </sheetView>
  </sheetViews>
  <sheetFormatPr defaultRowHeight="15" x14ac:dyDescent="0.25"/>
  <cols>
    <col min="1" max="1" width="15.140625" bestFit="1" customWidth="1"/>
    <col min="2" max="2" width="20" bestFit="1" customWidth="1"/>
    <col min="3" max="3" width="20.85546875" bestFit="1" customWidth="1"/>
    <col min="4" max="4" width="11.140625" bestFit="1" customWidth="1"/>
    <col min="5" max="5" width="14.85546875" bestFit="1" customWidth="1"/>
    <col min="6" max="6" width="16.42578125" bestFit="1" customWidth="1"/>
    <col min="7" max="7" width="23.28515625" bestFit="1" customWidth="1"/>
  </cols>
  <sheetData>
    <row r="1" spans="1:8" x14ac:dyDescent="0.25">
      <c r="A1" t="s">
        <v>7</v>
      </c>
      <c r="B1" t="s">
        <v>5</v>
      </c>
      <c r="C1" t="s">
        <v>6</v>
      </c>
      <c r="D1" t="s">
        <v>4</v>
      </c>
      <c r="E1" t="s">
        <v>13</v>
      </c>
      <c r="F1" t="s">
        <v>14</v>
      </c>
      <c r="G1" t="s">
        <v>15</v>
      </c>
      <c r="H1" t="s">
        <v>18</v>
      </c>
    </row>
    <row r="2" spans="1:8" x14ac:dyDescent="0.25">
      <c r="A2">
        <v>2020</v>
      </c>
      <c r="B2">
        <v>0.3</v>
      </c>
      <c r="C2">
        <v>0.3</v>
      </c>
      <c r="D2">
        <f>0.07836/(1-B2)</f>
        <v>0.11194285714285715</v>
      </c>
      <c r="E2">
        <v>0</v>
      </c>
      <c r="F2">
        <f>heterogeneity!H4/heterogeneity!H3</f>
        <v>0.69405099150141647</v>
      </c>
      <c r="G2" s="5" t="s">
        <v>16</v>
      </c>
      <c r="H2">
        <f>SUMPRODUCT(heterogeneity!C3:C5,heterogeneity!D3:D5)/52</f>
        <v>34.726807834290398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6545-17FF-4258-AE10-01CCF196D739}">
  <dimension ref="A1:H2"/>
  <sheetViews>
    <sheetView workbookViewId="0">
      <selection activeCell="F2" sqref="F2"/>
    </sheetView>
  </sheetViews>
  <sheetFormatPr defaultRowHeight="15" x14ac:dyDescent="0.25"/>
  <cols>
    <col min="1" max="1" width="15.140625" bestFit="1" customWidth="1"/>
    <col min="2" max="2" width="20" bestFit="1" customWidth="1"/>
    <col min="3" max="3" width="20.85546875" bestFit="1" customWidth="1"/>
    <col min="4" max="4" width="11.140625" bestFit="1" customWidth="1"/>
    <col min="5" max="5" width="14.85546875" bestFit="1" customWidth="1"/>
    <col min="6" max="6" width="16.42578125" bestFit="1" customWidth="1"/>
    <col min="7" max="7" width="23.28515625" bestFit="1" customWidth="1"/>
  </cols>
  <sheetData>
    <row r="1" spans="1:8" x14ac:dyDescent="0.25">
      <c r="A1" t="s">
        <v>7</v>
      </c>
      <c r="B1" t="s">
        <v>5</v>
      </c>
      <c r="C1" t="s">
        <v>6</v>
      </c>
      <c r="D1" t="s">
        <v>4</v>
      </c>
      <c r="E1" t="s">
        <v>13</v>
      </c>
      <c r="F1" t="s">
        <v>14</v>
      </c>
      <c r="G1" t="s">
        <v>15</v>
      </c>
      <c r="H1" t="s">
        <v>18</v>
      </c>
    </row>
    <row r="2" spans="1:8" x14ac:dyDescent="0.25">
      <c r="A2">
        <v>2020</v>
      </c>
      <c r="B2">
        <v>0.3</v>
      </c>
      <c r="C2">
        <v>0.3</v>
      </c>
      <c r="D2">
        <f>0.07836/(1-B2)</f>
        <v>0.11194285714285715</v>
      </c>
      <c r="E2">
        <v>0</v>
      </c>
      <c r="F2">
        <f>heterogeneityUS!H4/heterogeneityUS!H3</f>
        <v>0.86824166971650329</v>
      </c>
      <c r="G2" s="5" t="s">
        <v>16</v>
      </c>
      <c r="H2">
        <f>SUMPRODUCT(heterogeneityUS!C3:C5,heterogeneityUS!D3:D5)/52</f>
        <v>34.679985279270227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population</vt:lpstr>
      <vt:lpstr>heterogeneity</vt:lpstr>
      <vt:lpstr>heterogeneityUS</vt:lpstr>
      <vt:lpstr>calibration</vt:lpstr>
      <vt:lpstr>calibrationUS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Skjødt Berg</dc:creator>
  <cp:lastModifiedBy>Rasmus Kehlet Skjødt Berg</cp:lastModifiedBy>
  <dcterms:created xsi:type="dcterms:W3CDTF">2025-06-25T19:40:00Z</dcterms:created>
  <dcterms:modified xsi:type="dcterms:W3CDTF">2026-10-23T11:09:16Z</dcterms:modified>
</cp:coreProperties>
</file>